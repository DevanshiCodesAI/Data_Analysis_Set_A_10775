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a4ce7d2feaf9b2/Desktop/DataAnalysis_SetA_10775/"/>
    </mc:Choice>
  </mc:AlternateContent>
  <xr:revisionPtr revIDLastSave="99" documentId="8_{D1D02CA7-046C-4805-9B44-A46BD416BCA4}" xr6:coauthVersionLast="47" xr6:coauthVersionMax="47" xr10:uidLastSave="{4A6F3E23-3401-430A-87B2-72D9FAACF2AB}"/>
  <bookViews>
    <workbookView xWindow="-108" yWindow="-108" windowWidth="23256" windowHeight="12456" activeTab="3" xr2:uid="{3951EF34-BC87-4092-81FD-6D02AF36D422}"/>
  </bookViews>
  <sheets>
    <sheet name="Raw" sheetId="2" r:id="rId1"/>
    <sheet name="Lookup" sheetId="3" r:id="rId2"/>
    <sheet name="Clean" sheetId="1" r:id="rId3"/>
    <sheet name="Summary" sheetId="4" r:id="rId4"/>
  </sheets>
  <definedNames>
    <definedName name="ExternalData_1" localSheetId="2" hidden="1">Clean!$A$1:$F$13</definedName>
    <definedName name="ExternalData_1" localSheetId="1" hidden="1">Lookup!$A$1:$C$5</definedName>
    <definedName name="ExternalData_1" localSheetId="0" hidden="1">Raw!$A$1:$F$14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2" i="4"/>
  <c r="H2" i="1"/>
  <c r="H3" i="1"/>
  <c r="H4" i="1"/>
  <c r="H5" i="1"/>
  <c r="H6" i="1"/>
  <c r="H7" i="1"/>
  <c r="H8" i="1"/>
  <c r="H9" i="1"/>
  <c r="H10" i="1"/>
  <c r="H11" i="1"/>
  <c r="H12" i="1"/>
  <c r="H13" i="1"/>
  <c r="G2" i="1"/>
  <c r="G3" i="1"/>
  <c r="G4" i="1"/>
  <c r="G5" i="1"/>
  <c r="G6" i="1"/>
  <c r="G7" i="1"/>
  <c r="G8" i="1"/>
  <c r="G9" i="1"/>
  <c r="G10" i="1"/>
  <c r="G11" i="1"/>
  <c r="G12" i="1"/>
  <c r="G13" i="1"/>
  <c r="K3" i="2"/>
  <c r="N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78093C-25F1-48E0-A33C-0CF6365EFE47}" keepAlive="1" name="Query - deliveries" description="Connection to the 'deliveries' query in the workbook." type="5" refreshedVersion="8" background="1" saveData="1">
    <dbPr connection="Provider=Microsoft.Mashup.OleDb.1;Data Source=$Workbook$;Location=deliveries;Extended Properties=&quot;&quot;" command="SELECT * FROM [deliveries]"/>
  </connection>
  <connection id="2" xr16:uid="{D5874689-E480-4272-8A74-EA8DCD10B79A}" keepAlive="1" name="Query - deliveries (2)" description="Connection to the 'deliveries (2)' query in the workbook." type="5" refreshedVersion="8" background="1" saveData="1">
    <dbPr connection="Provider=Microsoft.Mashup.OleDb.1;Data Source=$Workbook$;Location=&quot;deliveries (2)&quot;;Extended Properties=&quot;&quot;" command="SELECT * FROM [deliveries (2)]"/>
  </connection>
  <connection id="3" xr16:uid="{DF8B5D69-3AF5-4714-B993-F888819C276E}" keepAlive="1" name="Query - routes" description="Connection to the 'routes' query in the workbook." type="5" refreshedVersion="8" background="1" saveData="1">
    <dbPr connection="Provider=Microsoft.Mashup.OleDb.1;Data Source=$Workbook$;Location=routes;Extended Properties=&quot;&quot;" command="SELECT * FROM [routes]"/>
  </connection>
</connections>
</file>

<file path=xl/sharedStrings.xml><?xml version="1.0" encoding="utf-8"?>
<sst xmlns="http://schemas.openxmlformats.org/spreadsheetml/2006/main" count="121" uniqueCount="34">
  <si>
    <t>record_id</t>
  </si>
  <si>
    <t>month</t>
  </si>
  <si>
    <t>route_id</t>
  </si>
  <si>
    <t>hub</t>
  </si>
  <si>
    <t>promised_days</t>
  </si>
  <si>
    <t>actual_days</t>
  </si>
  <si>
    <t>Jan</t>
  </si>
  <si>
    <t>R1</t>
  </si>
  <si>
    <t>Mumbai</t>
  </si>
  <si>
    <t>R2</t>
  </si>
  <si>
    <t>Chennai</t>
  </si>
  <si>
    <t>R3</t>
  </si>
  <si>
    <t>Delhi</t>
  </si>
  <si>
    <t>R4</t>
  </si>
  <si>
    <t>Feb</t>
  </si>
  <si>
    <t>Mar</t>
  </si>
  <si>
    <t>route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</si>
  <si>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</si>
  <si>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</si>
  <si>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</si>
  <si>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</si>
  <si>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</si>
  <si>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</si>
  <si>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</si>
  <si>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 xml:space="preserve"> Unique Records=</t>
  </si>
  <si>
    <t>Total Records=</t>
  </si>
  <si>
    <t>Service_type</t>
  </si>
  <si>
    <t>Delay_days</t>
  </si>
  <si>
    <t>Hubs</t>
  </si>
  <si>
    <t>Total_Delay</t>
  </si>
  <si>
    <t>Row Labels</t>
  </si>
  <si>
    <t>Grand Total</t>
  </si>
  <si>
    <t>Column Labels</t>
  </si>
  <si>
    <t>Total Delay_days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</si>
</sst>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3" xfId="0" applyBorder="1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0" xfId="0" applyNumberFormat="1"/>
    <xf numFmtId="0" fontId="0" fillId="0" borderId="0" xfId="0" applyNumberFormat="1"/>
    <xf numFmtId="1" fontId="1" fillId="0" borderId="0" xfId="0" applyNumberFormat="1" applyFont="1"/>
    <xf numFmtId="0" fontId="0" fillId="0" borderId="4" xfId="0" applyBorder="1"/>
    <xf numFmtId="0" fontId="0" fillId="0" borderId="4" xfId="0" pivotButton="1" applyBorder="1"/>
    <xf numFmtId="0" fontId="0" fillId="0" borderId="4" xfId="0" applyBorder="1" applyAlignment="1">
      <alignment horizontal="left"/>
    </xf>
    <xf numFmtId="1" fontId="0" fillId="0" borderId="4" xfId="0" applyNumberFormat="1" applyBorder="1"/>
  </cellXfs>
  <cellStyles count="1">
    <cellStyle name="Normal" xfId="0" builtinId="0"/>
  </cellStyles>
  <dxfs count="2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[Excel_Analysis.xlsx]Summary!PivotTable1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Summary!$B$6:$B$7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Summary!$A$8:$A$10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Summary!$B$8:$B$10</c:f>
              <c:numCache>
                <c:formatCode>0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E-4D1F-AA18-1C43A6A9D6D9}"/>
            </c:ext>
          </c:extLst>
        </c:ser>
        <c:ser>
          <c:idx val="1"/>
          <c:order val="1"/>
          <c:tx>
            <c:strRef>
              <c:f>Summary!$C$6:$C$7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Summary!$A$8:$A$10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Summary!$C$8:$C$10</c:f>
              <c:numCache>
                <c:formatCode>0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EE-4D1F-AA18-1C43A6A9D6D9}"/>
            </c:ext>
          </c:extLst>
        </c:ser>
        <c:ser>
          <c:idx val="2"/>
          <c:order val="2"/>
          <c:tx>
            <c:strRef>
              <c:f>Summary!$D$6:$D$7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Summary!$A$8:$A$10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Summary!$D$8:$D$10</c:f>
              <c:numCache>
                <c:formatCode>0</c:formatCode>
                <c:ptCount val="2"/>
                <c:pt idx="0">
                  <c:v>8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EE-4D1F-AA18-1C43A6A9D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3921424"/>
        <c:axId val="416715248"/>
      </c:barChart>
      <c:catAx>
        <c:axId val="50392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715248"/>
        <c:crosses val="autoZero"/>
        <c:auto val="1"/>
        <c:lblAlgn val="ctr"/>
        <c:lblOffset val="100"/>
        <c:noMultiLvlLbl val="0"/>
      </c:catAx>
      <c:valAx>
        <c:axId val="41671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2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716280</xdr:colOff>
      <xdr:row>1</xdr:row>
      <xdr:rowOff>11430</xdr:rowOff>
    </xdr:from>
    <xdr:to>
      <xdr:col>14</xdr:col>
      <xdr:colOff>0</xdr:colOff>
      <xdr:row>17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EFA0D6-D077-F85E-20DC-D68F955DD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ANSHI" refreshedDate="46291.530201388887" createdVersion="8" refreshedVersion="8" minRefreshableVersion="3" recordCount="12" xr:uid="{DC65D90D-20A8-45C0-861C-FDAF0C49AF6E}">
  <cacheSource type="worksheet">
    <worksheetSource name="deliveries4"/>
  </cacheSource>
  <cacheFields count="8">
    <cacheField name="record_id" numFmtId="0">
      <sharedItems containsSemiMixedTypes="0" containsString="0" containsNumber="1" containsInteger="1" minValue="1" maxValue="12"/>
    </cacheField>
    <cacheField name="month" numFmtId="49">
      <sharedItems count="3">
        <s v="Jan"/>
        <s v="Feb"/>
        <s v="Mar"/>
      </sharedItems>
    </cacheField>
    <cacheField name="route_id" numFmtId="0">
      <sharedItems/>
    </cacheField>
    <cacheField name="hub" numFmtId="49">
      <sharedItems/>
    </cacheField>
    <cacheField name="promised_days" numFmtId="1">
      <sharedItems containsSemiMixedTypes="0" containsString="0" containsNumber="1" containsInteger="1" minValue="2" maxValue="6"/>
    </cacheField>
    <cacheField name="actual_days" numFmtId="1">
      <sharedItems containsSemiMixedTypes="0" containsString="0" containsNumber="1" containsInteger="1" minValue="2" maxValue="15"/>
    </cacheField>
    <cacheField name="Service_type" numFmtId="49">
      <sharedItems count="2">
        <s v="Express"/>
        <s v="Standard"/>
      </sharedItems>
    </cacheField>
    <cacheField name="Delay_days" numFmtId="1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R1"/>
    <s v="Mumbai"/>
    <n v="2"/>
    <n v="2"/>
    <x v="0"/>
    <n v="0"/>
  </r>
  <r>
    <n v="2"/>
    <x v="0"/>
    <s v="R2"/>
    <s v="Chennai"/>
    <n v="3"/>
    <n v="4"/>
    <x v="0"/>
    <n v="1"/>
  </r>
  <r>
    <n v="3"/>
    <x v="0"/>
    <s v="R3"/>
    <s v="Delhi"/>
    <n v="5"/>
    <n v="8"/>
    <x v="1"/>
    <n v="3"/>
  </r>
  <r>
    <n v="4"/>
    <x v="0"/>
    <s v="R4"/>
    <s v="Mumbai"/>
    <n v="6"/>
    <n v="10"/>
    <x v="1"/>
    <n v="4"/>
  </r>
  <r>
    <n v="5"/>
    <x v="1"/>
    <s v="R1"/>
    <s v="Chennai"/>
    <n v="2"/>
    <n v="5"/>
    <x v="0"/>
    <n v="3"/>
  </r>
  <r>
    <n v="6"/>
    <x v="1"/>
    <s v="R2"/>
    <s v="Delhi"/>
    <n v="3"/>
    <n v="3"/>
    <x v="0"/>
    <n v="0"/>
  </r>
  <r>
    <n v="7"/>
    <x v="1"/>
    <s v="R3"/>
    <s v="Delhi"/>
    <n v="5"/>
    <n v="10"/>
    <x v="1"/>
    <n v="5"/>
  </r>
  <r>
    <n v="8"/>
    <x v="1"/>
    <s v="R4"/>
    <s v="Chennai"/>
    <n v="6"/>
    <n v="7"/>
    <x v="1"/>
    <n v="1"/>
  </r>
  <r>
    <n v="9"/>
    <x v="2"/>
    <s v="R1"/>
    <s v="Delhi"/>
    <n v="2"/>
    <n v="8"/>
    <x v="0"/>
    <n v="6"/>
  </r>
  <r>
    <n v="10"/>
    <x v="2"/>
    <s v="R2"/>
    <s v="Mumbai"/>
    <n v="3"/>
    <n v="5"/>
    <x v="0"/>
    <n v="2"/>
  </r>
  <r>
    <n v="11"/>
    <x v="2"/>
    <s v="R3"/>
    <s v="Chennai"/>
    <n v="5"/>
    <n v="5"/>
    <x v="1"/>
    <n v="0"/>
  </r>
  <r>
    <n v="12"/>
    <x v="2"/>
    <s v="R4"/>
    <s v="Mumbai"/>
    <n v="6"/>
    <n v="15"/>
    <x v="1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09CD3-618B-4978-9AB5-320379AE384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6:E10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numFmtId="1" showAll="0"/>
    <pivotField numFmtId="1" showAll="0"/>
    <pivotField axis="axisRow" showAll="0">
      <items count="3">
        <item x="0"/>
        <item x="1"/>
        <item t="default"/>
      </items>
    </pivotField>
    <pivotField dataField="1" numFmtId="1"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Total Delay_days" fld="7" baseField="0" baseItem="0" numFmtId="1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6" type="button" dataOnly="0" labelOnly="1" outline="0" axis="axisRow" fieldPosition="0"/>
    </format>
    <format dxfId="3">
      <pivotArea dataOnly="0" labelOnly="1" fieldPosition="0">
        <references count="1">
          <reference field="6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D278A3-BA54-4AD2-842A-F538A7BF223C}" autoFormatId="16" applyNumberFormats="0" applyBorderFormats="0" applyFontFormats="0" applyPatternFormats="0" applyAlignmentFormats="0" applyWidthHeightFormats="0">
  <queryTableRefresh nextId="7">
    <queryTableFields count="6">
      <queryTableField id="1" name="record_id" tableColumnId="1"/>
      <queryTableField id="2" name="month" tableColumnId="2"/>
      <queryTableField id="3" name="route_id" tableColumnId="3"/>
      <queryTableField id="4" name="hub" tableColumnId="4"/>
      <queryTableField id="5" name="promised_days" tableColumnId="5"/>
      <queryTableField id="6" name="actual_day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ACEB591-3318-4B8F-8F28-8C63B57CCDD7}" autoFormatId="16" applyNumberFormats="0" applyBorderFormats="0" applyFontFormats="0" applyPatternFormats="0" applyAlignmentFormats="0" applyWidthHeightFormats="0">
  <queryTableRefresh nextId="4">
    <queryTableFields count="3">
      <queryTableField id="1" name="route_id" tableColumnId="1"/>
      <queryTableField id="2" name="route" tableColumnId="2"/>
      <queryTableField id="3" name="service_typ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996F928-4C60-413C-944E-3522DC9A6C20}" autoFormatId="16" applyNumberFormats="0" applyBorderFormats="0" applyFontFormats="0" applyPatternFormats="0" applyAlignmentFormats="0" applyWidthHeightFormats="0">
  <queryTableRefresh nextId="10" unboundColumnsRight="2">
    <queryTableFields count="8">
      <queryTableField id="1" name="record_id" tableColumnId="1"/>
      <queryTableField id="2" name="month" tableColumnId="2"/>
      <queryTableField id="3" name="route_id" tableColumnId="3"/>
      <queryTableField id="4" name="hub" tableColumnId="4"/>
      <queryTableField id="5" name="promised_days" tableColumnId="5"/>
      <queryTableField id="6" name="actual_days" tableColumnId="6"/>
      <queryTableField id="7" dataBound="0" tableColumnId="7"/>
      <queryTableField id="9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7EACD0-596F-4B2A-9B3D-A2D309073DB9}" name="deliveries" displayName="deliveries" ref="A1:F14" tableType="queryTable" totalsRowShown="0">
  <autoFilter ref="A1:F14" xr:uid="{C07EACD0-596F-4B2A-9B3D-A2D309073DB9}"/>
  <tableColumns count="6">
    <tableColumn id="1" xr3:uid="{66E0BC7E-20E7-4502-A9CF-96258D6446B6}" uniqueName="1" name="record_id" queryTableFieldId="1"/>
    <tableColumn id="2" xr3:uid="{7D30E275-6225-4F89-8565-6167E5A9A7FE}" uniqueName="2" name="month" queryTableFieldId="2" dataDxfId="23"/>
    <tableColumn id="3" xr3:uid="{2046762C-DDE8-4556-92A0-9EF995562677}" uniqueName="3" name="route_id" queryTableFieldId="3" dataDxfId="22"/>
    <tableColumn id="4" xr3:uid="{6631F9A7-E0BE-4FA0-AB4A-85FCCA35122B}" uniqueName="4" name="hub" queryTableFieldId="4" dataDxfId="21"/>
    <tableColumn id="5" xr3:uid="{DECB1BD4-A1D9-43A5-B723-917E763B140A}" uniqueName="5" name="promised_days" queryTableFieldId="5"/>
    <tableColumn id="6" xr3:uid="{0DAA4C1C-8AAD-4945-868C-8CEABB26FDE9}" uniqueName="6" name="actual_days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202EE7-702A-45F4-A261-4D1ECC6B4D1C}" name="routes" displayName="routes" ref="A1:C5" tableType="queryTable" totalsRowShown="0">
  <autoFilter ref="A1:C5" xr:uid="{B7202EE7-702A-45F4-A261-4D1ECC6B4D1C}"/>
  <tableColumns count="3">
    <tableColumn id="1" xr3:uid="{468BBCAC-8A91-41FD-BD1F-7F78E26C3A95}" uniqueName="1" name="route_id" queryTableFieldId="1" dataDxfId="20"/>
    <tableColumn id="2" xr3:uid="{3EBC2B5D-BF27-4489-8E67-B0B7544CA1A1}" uniqueName="2" name="route" queryTableFieldId="2" dataDxfId="19"/>
    <tableColumn id="3" xr3:uid="{1F709214-9F15-44B5-9317-A93640D7822F}" uniqueName="3" name="service_type" queryTableFieldId="3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4AD6F0-A1F7-4822-9C7C-AF8352C66121}" name="deliveries4" displayName="deliveries4" ref="A1:H13" tableType="queryTable" totalsRowShown="0">
  <autoFilter ref="A1:H13" xr:uid="{294AD6F0-A1F7-4822-9C7C-AF8352C66121}"/>
  <tableColumns count="8">
    <tableColumn id="1" xr3:uid="{399B3881-AAAF-4046-BF82-829F631DE178}" uniqueName="1" name="record_id" queryTableFieldId="1" dataDxfId="16"/>
    <tableColumn id="2" xr3:uid="{E85A047B-281A-41CB-AF1C-F5B0CF79593C}" uniqueName="2" name="month" queryTableFieldId="2" dataDxfId="17"/>
    <tableColumn id="3" xr3:uid="{D04335CC-ACC5-4965-98E7-6D50099EC29B}" uniqueName="3" name="route_id" queryTableFieldId="3" dataDxfId="15"/>
    <tableColumn id="4" xr3:uid="{4325F835-A7FA-4899-9184-7BAE8084CA15}" uniqueName="4" name="hub" queryTableFieldId="4" dataDxfId="13"/>
    <tableColumn id="5" xr3:uid="{C75AA938-C6C7-42B6-9EEE-5431E431D88F}" uniqueName="5" name="promised_days" queryTableFieldId="5" dataDxfId="14"/>
    <tableColumn id="6" xr3:uid="{021EC521-898A-404A-907A-0FAB5315FA7F}" uniqueName="6" name="actual_days" queryTableFieldId="6" dataDxfId="12"/>
    <tableColumn id="7" xr3:uid="{A82ECF27-F7AE-435F-9F8C-5D47155B712F}" uniqueName="7" name="Service_type" queryTableFieldId="7" dataDxfId="11">
      <calculatedColumnFormula>_xlfn.XLOOKUP(C2,Lookup!A:A,Lookup!C:C)</calculatedColumnFormula>
    </tableColumn>
    <tableColumn id="8" xr3:uid="{52C94265-C38D-4424-AFB9-E153CED7C649}" uniqueName="8" name="Delay_days" queryTableFieldId="9" dataDxfId="10">
      <calculatedColumnFormula>MAX(F2-E2,0)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4BE8-5076-48AA-8985-3BC69B919E24}">
  <dimension ref="A1:K14"/>
  <sheetViews>
    <sheetView workbookViewId="0">
      <selection activeCell="I3" sqref="I3:K3"/>
    </sheetView>
  </sheetViews>
  <sheetFormatPr defaultRowHeight="14.4" x14ac:dyDescent="0.3"/>
  <cols>
    <col min="1" max="1" width="11.109375" bestFit="1" customWidth="1"/>
    <col min="2" max="2" width="8.5546875" bestFit="1" customWidth="1"/>
    <col min="3" max="3" width="10" bestFit="1" customWidth="1"/>
    <col min="4" max="4" width="7.6640625" bestFit="1" customWidth="1"/>
    <col min="5" max="5" width="16" bestFit="1" customWidth="1"/>
    <col min="6" max="6" width="13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3">
      <c r="A2">
        <v>1</v>
      </c>
      <c r="B2" t="s">
        <v>6</v>
      </c>
      <c r="C2" t="s">
        <v>7</v>
      </c>
      <c r="D2" t="s">
        <v>8</v>
      </c>
      <c r="E2">
        <v>2</v>
      </c>
      <c r="F2">
        <v>2</v>
      </c>
    </row>
    <row r="3" spans="1:11" x14ac:dyDescent="0.3">
      <c r="A3">
        <v>2</v>
      </c>
      <c r="B3" t="s">
        <v>6</v>
      </c>
      <c r="C3" t="s">
        <v>9</v>
      </c>
      <c r="D3" t="s">
        <v>10</v>
      </c>
      <c r="E3">
        <v>3</v>
      </c>
      <c r="F3">
        <v>4</v>
      </c>
      <c r="I3" s="4" t="s">
        <v>25</v>
      </c>
      <c r="J3" s="5"/>
      <c r="K3" s="1">
        <f>COUNT(deliveries[record_id])</f>
        <v>13</v>
      </c>
    </row>
    <row r="4" spans="1:11" x14ac:dyDescent="0.3">
      <c r="A4">
        <v>3</v>
      </c>
      <c r="B4" t="s">
        <v>6</v>
      </c>
      <c r="C4" t="s">
        <v>11</v>
      </c>
      <c r="D4" t="s">
        <v>12</v>
      </c>
      <c r="E4">
        <v>5</v>
      </c>
      <c r="F4">
        <v>8</v>
      </c>
    </row>
    <row r="5" spans="1:11" x14ac:dyDescent="0.3">
      <c r="A5">
        <v>4</v>
      </c>
      <c r="B5" t="s">
        <v>6</v>
      </c>
      <c r="C5" t="s">
        <v>13</v>
      </c>
      <c r="D5" t="s">
        <v>8</v>
      </c>
      <c r="E5">
        <v>6</v>
      </c>
      <c r="F5">
        <v>10</v>
      </c>
    </row>
    <row r="6" spans="1:11" x14ac:dyDescent="0.3">
      <c r="A6">
        <v>5</v>
      </c>
      <c r="B6" t="s">
        <v>14</v>
      </c>
      <c r="C6" t="s">
        <v>7</v>
      </c>
      <c r="D6" t="s">
        <v>10</v>
      </c>
      <c r="E6">
        <v>2</v>
      </c>
      <c r="F6">
        <v>5</v>
      </c>
    </row>
    <row r="7" spans="1:11" x14ac:dyDescent="0.3">
      <c r="A7">
        <v>6</v>
      </c>
      <c r="B7" t="s">
        <v>14</v>
      </c>
      <c r="C7" t="s">
        <v>9</v>
      </c>
      <c r="D7" t="s">
        <v>12</v>
      </c>
      <c r="E7">
        <v>3</v>
      </c>
      <c r="F7">
        <v>3</v>
      </c>
    </row>
    <row r="8" spans="1:11" x14ac:dyDescent="0.3">
      <c r="A8">
        <v>7</v>
      </c>
      <c r="B8" t="s">
        <v>14</v>
      </c>
      <c r="C8" t="s">
        <v>11</v>
      </c>
      <c r="D8" t="s">
        <v>12</v>
      </c>
      <c r="E8">
        <v>5</v>
      </c>
      <c r="F8">
        <v>10</v>
      </c>
    </row>
    <row r="9" spans="1:11" x14ac:dyDescent="0.3">
      <c r="A9">
        <v>8</v>
      </c>
      <c r="B9" t="s">
        <v>14</v>
      </c>
      <c r="C9" t="s">
        <v>13</v>
      </c>
      <c r="D9" t="s">
        <v>10</v>
      </c>
      <c r="E9">
        <v>6</v>
      </c>
      <c r="F9">
        <v>7</v>
      </c>
    </row>
    <row r="10" spans="1:11" x14ac:dyDescent="0.3">
      <c r="A10">
        <v>9</v>
      </c>
      <c r="B10" t="s">
        <v>15</v>
      </c>
      <c r="C10" t="s">
        <v>7</v>
      </c>
      <c r="D10" t="s">
        <v>12</v>
      </c>
      <c r="E10">
        <v>2</v>
      </c>
      <c r="F10">
        <v>8</v>
      </c>
    </row>
    <row r="11" spans="1:11" x14ac:dyDescent="0.3">
      <c r="A11">
        <v>10</v>
      </c>
      <c r="B11" t="s">
        <v>15</v>
      </c>
      <c r="C11" t="s">
        <v>9</v>
      </c>
      <c r="D11" t="s">
        <v>8</v>
      </c>
      <c r="E11">
        <v>3</v>
      </c>
      <c r="F11">
        <v>5</v>
      </c>
    </row>
    <row r="12" spans="1:11" x14ac:dyDescent="0.3">
      <c r="A12">
        <v>11</v>
      </c>
      <c r="B12" t="s">
        <v>15</v>
      </c>
      <c r="C12" t="s">
        <v>11</v>
      </c>
      <c r="D12" t="s">
        <v>10</v>
      </c>
      <c r="E12">
        <v>5</v>
      </c>
      <c r="F12">
        <v>5</v>
      </c>
    </row>
    <row r="13" spans="1:11" x14ac:dyDescent="0.3">
      <c r="A13">
        <v>12</v>
      </c>
      <c r="B13" t="s">
        <v>15</v>
      </c>
      <c r="C13" t="s">
        <v>13</v>
      </c>
      <c r="D13" t="s">
        <v>8</v>
      </c>
      <c r="E13">
        <v>6</v>
      </c>
      <c r="F13">
        <v>15</v>
      </c>
    </row>
    <row r="14" spans="1:11" x14ac:dyDescent="0.3">
      <c r="A14">
        <v>12</v>
      </c>
      <c r="B14" t="s">
        <v>15</v>
      </c>
      <c r="C14" t="s">
        <v>13</v>
      </c>
      <c r="D14" t="s">
        <v>8</v>
      </c>
      <c r="E14">
        <v>6</v>
      </c>
      <c r="F14">
        <v>15</v>
      </c>
    </row>
  </sheetData>
  <mergeCells count="1">
    <mergeCell ref="I3:J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C9CC-5491-4040-88AE-4BC545F9078F}">
  <dimension ref="A1:C5"/>
  <sheetViews>
    <sheetView workbookViewId="0"/>
  </sheetViews>
  <sheetFormatPr defaultRowHeight="14.4" x14ac:dyDescent="0.3"/>
  <cols>
    <col min="1" max="1" width="10" bestFit="1" customWidth="1"/>
    <col min="2" max="2" width="13.77734375" bestFit="1" customWidth="1"/>
    <col min="3" max="3" width="13.6640625" bestFit="1" customWidth="1"/>
  </cols>
  <sheetData>
    <row r="1" spans="1:3" x14ac:dyDescent="0.3">
      <c r="A1" t="s">
        <v>2</v>
      </c>
      <c r="B1" t="s">
        <v>16</v>
      </c>
      <c r="C1" t="s">
        <v>17</v>
      </c>
    </row>
    <row r="2" spans="1:3" x14ac:dyDescent="0.3">
      <c r="A2" t="s">
        <v>7</v>
      </c>
      <c r="B2" t="s">
        <v>18</v>
      </c>
      <c r="C2" t="s">
        <v>19</v>
      </c>
    </row>
    <row r="3" spans="1:3" x14ac:dyDescent="0.3">
      <c r="A3" t="s">
        <v>9</v>
      </c>
      <c r="B3" t="s">
        <v>20</v>
      </c>
      <c r="C3" t="s">
        <v>19</v>
      </c>
    </row>
    <row r="4" spans="1:3" x14ac:dyDescent="0.3">
      <c r="A4" t="s">
        <v>11</v>
      </c>
      <c r="B4" t="s">
        <v>21</v>
      </c>
      <c r="C4" t="s">
        <v>22</v>
      </c>
    </row>
    <row r="5" spans="1:3" x14ac:dyDescent="0.3">
      <c r="A5" t="s">
        <v>13</v>
      </c>
      <c r="B5" t="s">
        <v>23</v>
      </c>
      <c r="C5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DE0C-E7F5-48BD-9D4A-1818FF885E41}">
  <dimension ref="A1:N13"/>
  <sheetViews>
    <sheetView workbookViewId="0">
      <selection activeCell="D2" sqref="D2:D4"/>
    </sheetView>
  </sheetViews>
  <sheetFormatPr defaultRowHeight="14.4" x14ac:dyDescent="0.3"/>
  <cols>
    <col min="1" max="1" width="11.109375" bestFit="1" customWidth="1"/>
    <col min="2" max="2" width="8.5546875" bestFit="1" customWidth="1"/>
    <col min="3" max="3" width="10" bestFit="1" customWidth="1"/>
    <col min="4" max="4" width="7.6640625" bestFit="1" customWidth="1"/>
    <col min="5" max="5" width="16" bestFit="1" customWidth="1"/>
    <col min="6" max="6" width="13.109375" bestFit="1" customWidth="1"/>
    <col min="7" max="7" width="13.88671875" bestFit="1" customWidth="1"/>
  </cols>
  <sheetData>
    <row r="1" spans="1:14" x14ac:dyDescent="0.3">
      <c r="A1" s="2" t="s">
        <v>0</v>
      </c>
      <c r="B1" s="6" t="s">
        <v>1</v>
      </c>
      <c r="C1" t="s">
        <v>2</v>
      </c>
      <c r="D1" t="s">
        <v>3</v>
      </c>
      <c r="E1" s="3" t="s">
        <v>4</v>
      </c>
      <c r="F1" s="3" t="s">
        <v>5</v>
      </c>
      <c r="G1" t="s">
        <v>26</v>
      </c>
      <c r="H1" t="s">
        <v>27</v>
      </c>
    </row>
    <row r="2" spans="1:14" x14ac:dyDescent="0.3">
      <c r="A2" s="7">
        <v>1</v>
      </c>
      <c r="B2" s="6" t="s">
        <v>6</v>
      </c>
      <c r="C2" t="s">
        <v>7</v>
      </c>
      <c r="D2" s="6" t="s">
        <v>8</v>
      </c>
      <c r="E2" s="3">
        <v>2</v>
      </c>
      <c r="F2" s="3">
        <v>2</v>
      </c>
      <c r="G2" s="6" t="str">
        <f>_xlfn.XLOOKUP(C2,Lookup!A:A,Lookup!C:C)</f>
        <v>Express</v>
      </c>
      <c r="H2" s="8">
        <f t="shared" ref="H2:H13" si="0">MAX(F2-E2,0)</f>
        <v>0</v>
      </c>
      <c r="L2" s="4" t="s">
        <v>24</v>
      </c>
      <c r="M2" s="5"/>
      <c r="N2" s="1">
        <f>COUNTA(_xlfn.UNIQUE(deliveries4[record_id]))</f>
        <v>12</v>
      </c>
    </row>
    <row r="3" spans="1:14" x14ac:dyDescent="0.3">
      <c r="A3" s="7">
        <v>2</v>
      </c>
      <c r="B3" s="6" t="s">
        <v>6</v>
      </c>
      <c r="C3" t="s">
        <v>9</v>
      </c>
      <c r="D3" s="6" t="s">
        <v>10</v>
      </c>
      <c r="E3" s="3">
        <v>3</v>
      </c>
      <c r="F3" s="3">
        <v>4</v>
      </c>
      <c r="G3" s="6" t="str">
        <f>_xlfn.XLOOKUP(C3,Lookup!A:A,Lookup!C:C)</f>
        <v>Express</v>
      </c>
      <c r="H3" s="3">
        <f t="shared" si="0"/>
        <v>1</v>
      </c>
    </row>
    <row r="4" spans="1:14" x14ac:dyDescent="0.3">
      <c r="A4" s="7">
        <v>3</v>
      </c>
      <c r="B4" s="6" t="s">
        <v>6</v>
      </c>
      <c r="C4" t="s">
        <v>11</v>
      </c>
      <c r="D4" s="6" t="s">
        <v>12</v>
      </c>
      <c r="E4" s="3">
        <v>5</v>
      </c>
      <c r="F4" s="3">
        <v>8</v>
      </c>
      <c r="G4" s="6" t="str">
        <f>_xlfn.XLOOKUP(C4,Lookup!A:A,Lookup!C:C)</f>
        <v>Standard</v>
      </c>
      <c r="H4" s="3">
        <f t="shared" si="0"/>
        <v>3</v>
      </c>
    </row>
    <row r="5" spans="1:14" x14ac:dyDescent="0.3">
      <c r="A5" s="7">
        <v>4</v>
      </c>
      <c r="B5" s="6" t="s">
        <v>6</v>
      </c>
      <c r="C5" t="s">
        <v>13</v>
      </c>
      <c r="D5" s="6" t="s">
        <v>8</v>
      </c>
      <c r="E5" s="3">
        <v>6</v>
      </c>
      <c r="F5" s="3">
        <v>10</v>
      </c>
      <c r="G5" s="6" t="str">
        <f>_xlfn.XLOOKUP(C5,Lookup!A:A,Lookup!C:C)</f>
        <v>Standard</v>
      </c>
      <c r="H5" s="3">
        <f t="shared" si="0"/>
        <v>4</v>
      </c>
    </row>
    <row r="6" spans="1:14" x14ac:dyDescent="0.3">
      <c r="A6" s="7">
        <v>5</v>
      </c>
      <c r="B6" s="6" t="s">
        <v>14</v>
      </c>
      <c r="C6" t="s">
        <v>7</v>
      </c>
      <c r="D6" s="6" t="s">
        <v>10</v>
      </c>
      <c r="E6" s="3">
        <v>2</v>
      </c>
      <c r="F6" s="3">
        <v>5</v>
      </c>
      <c r="G6" s="6" t="str">
        <f>_xlfn.XLOOKUP(C6,Lookup!A:A,Lookup!C:C)</f>
        <v>Express</v>
      </c>
      <c r="H6" s="3">
        <f t="shared" si="0"/>
        <v>3</v>
      </c>
    </row>
    <row r="7" spans="1:14" x14ac:dyDescent="0.3">
      <c r="A7" s="7">
        <v>6</v>
      </c>
      <c r="B7" s="6" t="s">
        <v>14</v>
      </c>
      <c r="C7" t="s">
        <v>9</v>
      </c>
      <c r="D7" s="6" t="s">
        <v>12</v>
      </c>
      <c r="E7" s="3">
        <v>3</v>
      </c>
      <c r="F7" s="3">
        <v>3</v>
      </c>
      <c r="G7" s="6" t="str">
        <f>_xlfn.XLOOKUP(C7,Lookup!A:A,Lookup!C:C)</f>
        <v>Express</v>
      </c>
      <c r="H7" s="3">
        <f t="shared" si="0"/>
        <v>0</v>
      </c>
    </row>
    <row r="8" spans="1:14" x14ac:dyDescent="0.3">
      <c r="A8" s="7">
        <v>7</v>
      </c>
      <c r="B8" s="6" t="s">
        <v>14</v>
      </c>
      <c r="C8" t="s">
        <v>11</v>
      </c>
      <c r="D8" s="6" t="s">
        <v>12</v>
      </c>
      <c r="E8" s="3">
        <v>5</v>
      </c>
      <c r="F8" s="3">
        <v>10</v>
      </c>
      <c r="G8" s="6" t="str">
        <f>_xlfn.XLOOKUP(C8,Lookup!A:A,Lookup!C:C)</f>
        <v>Standard</v>
      </c>
      <c r="H8" s="3">
        <f t="shared" si="0"/>
        <v>5</v>
      </c>
    </row>
    <row r="9" spans="1:14" x14ac:dyDescent="0.3">
      <c r="A9" s="7">
        <v>8</v>
      </c>
      <c r="B9" s="6" t="s">
        <v>14</v>
      </c>
      <c r="C9" t="s">
        <v>13</v>
      </c>
      <c r="D9" s="6" t="s">
        <v>10</v>
      </c>
      <c r="E9" s="3">
        <v>6</v>
      </c>
      <c r="F9" s="3">
        <v>7</v>
      </c>
      <c r="G9" s="6" t="str">
        <f>_xlfn.XLOOKUP(C9,Lookup!A:A,Lookup!C:C)</f>
        <v>Standard</v>
      </c>
      <c r="H9" s="3">
        <f t="shared" si="0"/>
        <v>1</v>
      </c>
    </row>
    <row r="10" spans="1:14" x14ac:dyDescent="0.3">
      <c r="A10" s="7">
        <v>9</v>
      </c>
      <c r="B10" s="6" t="s">
        <v>15</v>
      </c>
      <c r="C10" t="s">
        <v>7</v>
      </c>
      <c r="D10" s="6" t="s">
        <v>12</v>
      </c>
      <c r="E10" s="3">
        <v>2</v>
      </c>
      <c r="F10" s="3">
        <v>8</v>
      </c>
      <c r="G10" s="6" t="str">
        <f>_xlfn.XLOOKUP(C10,Lookup!A:A,Lookup!C:C)</f>
        <v>Express</v>
      </c>
      <c r="H10" s="3">
        <f t="shared" si="0"/>
        <v>6</v>
      </c>
    </row>
    <row r="11" spans="1:14" x14ac:dyDescent="0.3">
      <c r="A11" s="7">
        <v>10</v>
      </c>
      <c r="B11" s="6" t="s">
        <v>15</v>
      </c>
      <c r="C11" t="s">
        <v>9</v>
      </c>
      <c r="D11" s="6" t="s">
        <v>8</v>
      </c>
      <c r="E11" s="3">
        <v>3</v>
      </c>
      <c r="F11" s="3">
        <v>5</v>
      </c>
      <c r="G11" s="6" t="str">
        <f>_xlfn.XLOOKUP(C11,Lookup!A:A,Lookup!C:C)</f>
        <v>Express</v>
      </c>
      <c r="H11" s="3">
        <f t="shared" si="0"/>
        <v>2</v>
      </c>
    </row>
    <row r="12" spans="1:14" x14ac:dyDescent="0.3">
      <c r="A12" s="7">
        <v>11</v>
      </c>
      <c r="B12" s="6" t="s">
        <v>15</v>
      </c>
      <c r="C12" t="s">
        <v>11</v>
      </c>
      <c r="D12" s="6" t="s">
        <v>10</v>
      </c>
      <c r="E12" s="3">
        <v>5</v>
      </c>
      <c r="F12" s="3">
        <v>5</v>
      </c>
      <c r="G12" s="6" t="str">
        <f>_xlfn.XLOOKUP(C12,Lookup!A:A,Lookup!C:C)</f>
        <v>Standard</v>
      </c>
      <c r="H12" s="3">
        <f t="shared" si="0"/>
        <v>0</v>
      </c>
    </row>
    <row r="13" spans="1:14" x14ac:dyDescent="0.3">
      <c r="A13" s="7">
        <v>12</v>
      </c>
      <c r="B13" s="6" t="s">
        <v>15</v>
      </c>
      <c r="C13" t="s">
        <v>13</v>
      </c>
      <c r="D13" s="6" t="s">
        <v>8</v>
      </c>
      <c r="E13" s="3">
        <v>6</v>
      </c>
      <c r="F13" s="3">
        <v>15</v>
      </c>
      <c r="G13" s="6" t="str">
        <f>_xlfn.XLOOKUP(C13,Lookup!A:A,Lookup!C:C)</f>
        <v>Standard</v>
      </c>
      <c r="H13" s="3">
        <f t="shared" si="0"/>
        <v>9</v>
      </c>
    </row>
  </sheetData>
  <mergeCells count="1">
    <mergeCell ref="L2:M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7F4DF-9D81-4AFC-B255-FA5A69B75979}">
  <dimension ref="A1:E10"/>
  <sheetViews>
    <sheetView tabSelected="1" workbookViewId="0">
      <selection activeCell="R14" sqref="R14"/>
    </sheetView>
  </sheetViews>
  <sheetFormatPr defaultRowHeight="14.4" x14ac:dyDescent="0.3"/>
  <cols>
    <col min="1" max="1" width="7.6640625" bestFit="1" customWidth="1"/>
    <col min="2" max="2" width="16.44140625" bestFit="1" customWidth="1"/>
    <col min="3" max="3" width="15.5546875" bestFit="1" customWidth="1"/>
    <col min="4" max="4" width="4.109375" bestFit="1" customWidth="1"/>
    <col min="5" max="6" width="10.5546875" bestFit="1" customWidth="1"/>
  </cols>
  <sheetData>
    <row r="1" spans="1:5" x14ac:dyDescent="0.3">
      <c r="A1" s="9" t="s">
        <v>28</v>
      </c>
      <c r="B1" s="9" t="s">
        <v>29</v>
      </c>
    </row>
    <row r="2" spans="1:5" x14ac:dyDescent="0.3">
      <c r="A2" s="9" t="s">
        <v>8</v>
      </c>
      <c r="B2" s="9">
        <f>SUMIFS(Clean!H:H,Clean!D:D,A2)</f>
        <v>15</v>
      </c>
    </row>
    <row r="3" spans="1:5" x14ac:dyDescent="0.3">
      <c r="A3" s="9" t="s">
        <v>10</v>
      </c>
      <c r="B3" s="9">
        <f>SUMIFS(Clean!H:H,Clean!D:D,A3)</f>
        <v>5</v>
      </c>
    </row>
    <row r="4" spans="1:5" x14ac:dyDescent="0.3">
      <c r="A4" s="9" t="s">
        <v>12</v>
      </c>
      <c r="B4" s="9">
        <f>SUMIFS(Clean!H:H,Clean!D:D,A4)</f>
        <v>14</v>
      </c>
    </row>
    <row r="6" spans="1:5" x14ac:dyDescent="0.3">
      <c r="A6" s="10" t="s">
        <v>33</v>
      </c>
      <c r="B6" s="10" t="s">
        <v>32</v>
      </c>
      <c r="C6" s="9"/>
      <c r="D6" s="9"/>
      <c r="E6" s="9"/>
    </row>
    <row r="7" spans="1:5" x14ac:dyDescent="0.3">
      <c r="A7" s="10" t="s">
        <v>30</v>
      </c>
      <c r="B7" s="9" t="s">
        <v>6</v>
      </c>
      <c r="C7" s="9" t="s">
        <v>14</v>
      </c>
      <c r="D7" s="9" t="s">
        <v>15</v>
      </c>
      <c r="E7" s="9" t="s">
        <v>31</v>
      </c>
    </row>
    <row r="8" spans="1:5" x14ac:dyDescent="0.3">
      <c r="A8" s="11" t="s">
        <v>19</v>
      </c>
      <c r="B8" s="12">
        <v>1</v>
      </c>
      <c r="C8" s="12">
        <v>3</v>
      </c>
      <c r="D8" s="12">
        <v>8</v>
      </c>
      <c r="E8" s="12">
        <v>12</v>
      </c>
    </row>
    <row r="9" spans="1:5" x14ac:dyDescent="0.3">
      <c r="A9" s="11" t="s">
        <v>22</v>
      </c>
      <c r="B9" s="12">
        <v>7</v>
      </c>
      <c r="C9" s="12">
        <v>6</v>
      </c>
      <c r="D9" s="12">
        <v>9</v>
      </c>
      <c r="E9" s="12">
        <v>22</v>
      </c>
    </row>
    <row r="10" spans="1:5" x14ac:dyDescent="0.3">
      <c r="A10" s="11" t="s">
        <v>31</v>
      </c>
      <c r="B10" s="12">
        <v>8</v>
      </c>
      <c r="C10" s="12">
        <v>9</v>
      </c>
      <c r="D10" s="12">
        <v>17</v>
      </c>
      <c r="E10" s="12">
        <v>34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907896-EC22-42ED-B5E4-6D2138D15D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Devanshi Bacchhote</dc:creator>
  <cp:lastModifiedBy>Devanshi Bacchhote</cp:lastModifiedBy>
  <dcterms:created xsi:type="dcterms:W3CDTF">2026-09-26T06:04:19Z</dcterms:created>
  <dcterms:modified xsi:type="dcterms:W3CDTF">2026-09-26T07:29:20Z</dcterms:modified>
</cp:coreProperties>
</file>